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osa\svn\svn-mosa\MDM\grades\2026-FS\"/>
    </mc:Choice>
  </mc:AlternateContent>
  <xr:revisionPtr revIDLastSave="0" documentId="13_ncr:1_{D7AD04E5-DCF8-4632-A10C-B1888CD66D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definedNames>
    <definedName name="_xlnm._FilterDatabase" localSheetId="0" hidden="1">Tabelle1!$A$1:$L$31</definedName>
    <definedName name="_xlnm.Print_Area" localSheetId="0">Tabelle1!$A$1:$L$31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6" i="1" l="1"/>
  <c r="K28" i="1"/>
  <c r="K29" i="1" s="1"/>
  <c r="K30" i="1" s="1"/>
  <c r="K31" i="1" s="1"/>
  <c r="J16" i="1" l="1"/>
  <c r="J28" i="1"/>
  <c r="J29" i="1" l="1"/>
  <c r="J30" i="1" l="1"/>
  <c r="J31" i="1" s="1"/>
</calcChain>
</file>

<file path=xl/sharedStrings.xml><?xml version="1.0" encoding="utf-8"?>
<sst xmlns="http://schemas.openxmlformats.org/spreadsheetml/2006/main" count="104" uniqueCount="85">
  <si>
    <t>max. Punkte</t>
  </si>
  <si>
    <t>Punkte Total</t>
  </si>
  <si>
    <t>Note (gerundet)</t>
  </si>
  <si>
    <t>Bewertung MDM</t>
  </si>
  <si>
    <t>Punkte Projekt 1</t>
  </si>
  <si>
    <t>Punkte Projekt 2</t>
  </si>
  <si>
    <t>Max</t>
  </si>
  <si>
    <t>Note (Punkte/100*5+1, ungerundet)</t>
  </si>
  <si>
    <t>Screencast Review 1</t>
  </si>
  <si>
    <t>Sinnvolle und konstruktive Rückmeldung, Qualität und Umfang</t>
  </si>
  <si>
    <t>Gut aufgebauter Screencast, schöne Folien, ruhig gesprochen</t>
  </si>
  <si>
    <t>mittlere Komplexität</t>
  </si>
  <si>
    <t>Skala 1</t>
  </si>
  <si>
    <t>Skala 4</t>
  </si>
  <si>
    <t>Skala 3</t>
  </si>
  <si>
    <t>Skala 5</t>
  </si>
  <si>
    <t>Skala 2</t>
  </si>
  <si>
    <t>Skala 0</t>
  </si>
  <si>
    <t>Scraping vorhanden, Dokumentation knapp</t>
  </si>
  <si>
    <t>komplexes Scraping vorhanden, gut</t>
  </si>
  <si>
    <t>nicht vorhanden</t>
  </si>
  <si>
    <t>nicht vollständig</t>
  </si>
  <si>
    <t>Scraping vorhanden, könnte besser präsentiert/gezeigt werden</t>
  </si>
  <si>
    <t>Deployment vorhanden, gut präsentiert</t>
  </si>
  <si>
    <t>API benutzt, kein komplexes Scraping ODER Vorlesungsbeispiel</t>
  </si>
  <si>
    <t>Screencast in Ordnung</t>
  </si>
  <si>
    <t>eigenes Training, beschränkte Komplexität</t>
  </si>
  <si>
    <t>sehr komplexes Training, mehrere Varianten</t>
  </si>
  <si>
    <t>eigenes Training, könnte noch besser präsentiert/gezeigt werden, mehrere Varianten geprüft</t>
  </si>
  <si>
    <t>Deployment vorhanden</t>
  </si>
  <si>
    <t>Vorlesungsbeispiel</t>
  </si>
  <si>
    <t>eigener Datensatz, aber nahe am Vorlesungsbeispiel</t>
  </si>
  <si>
    <t>nahe am Vorlesungsbeispiel</t>
  </si>
  <si>
    <t>Deployment vorhanden, knapp dokumentiert</t>
  </si>
  <si>
    <t>vorgefertiges Modell</t>
  </si>
  <si>
    <t>Projekt 1 (50%)</t>
  </si>
  <si>
    <t>Projekt 2 (50%)</t>
  </si>
  <si>
    <t>Allgemeine Hinweise</t>
  </si>
  <si>
    <t>Das GitHub-Repo, welches im Screencast verwendet wird, muss auf Moodle angegeben werden und an den Dozenten freigegeben sein, ansonsten erfolgt keine Bewertung.</t>
  </si>
  <si>
    <t>Dependency Management</t>
  </si>
  <si>
    <t>Umsetzung und Anwendung, Setup Environment</t>
  </si>
  <si>
    <t>Scraping (Collect &amp; Curate)</t>
  </si>
  <si>
    <t>Upload MongoDB (Transform, Validate, Explore)</t>
  </si>
  <si>
    <t>Training &amp; Modell
(Train, Evaluate, Formulate)</t>
  </si>
  <si>
    <t>UI / Backend</t>
  </si>
  <si>
    <t>Deployment</t>
  </si>
  <si>
    <t>lokales Deployment, Demo auf lokaler App, Durchführung Azure Deployment, Nachvollziehbarkeit, Demo auf Deployment</t>
  </si>
  <si>
    <t>Bonuspunkte</t>
  </si>
  <si>
    <t>Zusätzliche, eigenständige Elemente, diese müssen auf Moodle beantragt werden</t>
  </si>
  <si>
    <t>Dependency Management mit Java</t>
  </si>
  <si>
    <t>lokales Deployment, Deployment auf Azure mit Docker Compose, Nachvollziehbarkeit, Demo auf Deployment</t>
  </si>
  <si>
    <t>Komplexität Scraping, Nachvollziehbarkeit Scraping, unterschiedliche Versuche und Analyse</t>
  </si>
  <si>
    <t>Konfiguration, Datenmanagement (Upload MongoDB), Nachvollziehbarkeit, Abfrage Daten auf MongoDB, Zustand  vor und nach verschiedenen Scraping-Durchläufen</t>
  </si>
  <si>
    <t>Komplexität Training, Kennzahlen, Analyse, Auswertung und Validierung Kennzahlen, Erstellung verschiedener Modelle</t>
  </si>
  <si>
    <t>Umfang und Nachweis Automatisierung, GitHub Actions, erfolgreiche Ausführung, mehrere erfolgreiche Durchläufe in Log sichtbar</t>
  </si>
  <si>
    <t>Nachweis Backend Services, Nachweis Funktionalität mit Postman, verschiedene Services aufrufen</t>
  </si>
  <si>
    <t>lokales Deployment, Nachvollziehbarkeit, Demo auf lokaler App, Durchführung Azure Deployment, Nachvollziehbarkeit, relevante Logs, Demo auf Deployment</t>
  </si>
  <si>
    <t>Automatisierung Blob Storage (ModelOps)</t>
  </si>
  <si>
    <t>Automatisierung Deployment (ModelOps)</t>
  </si>
  <si>
    <t>Training &amp; Modell (Footwear Classification)
(Train, Evaluate, Formulate)</t>
  </si>
  <si>
    <t>DJL Serving (Sentiment Analysis)</t>
  </si>
  <si>
    <t>UI / Backend (Footwear Classification)</t>
  </si>
  <si>
    <t>Deployment (Footwear Classification)</t>
  </si>
  <si>
    <t>Automatisierung Deployment (Footwear Classification, ModelOps)</t>
  </si>
  <si>
    <t>Automatisierung (DJL Serving, Sentiment Analysis)</t>
  </si>
  <si>
    <t>Dependency Management, Project Setup in VS Code (Footwear Classification)</t>
  </si>
  <si>
    <t>Präsentation durchgeführt, geforderte Anzahl Feedbacks abgegeben, Feedbacks beurteilen Umsetzung, Dokumentation, enthalten konstruktive und qualitativ gute Verbesserungsvorschläge</t>
  </si>
  <si>
    <t>Review 1</t>
  </si>
  <si>
    <t>Bonus 1</t>
  </si>
  <si>
    <t>Bonus 2</t>
  </si>
  <si>
    <t>Review 2</t>
  </si>
  <si>
    <t>Nachweis Automatisierung Teil 1 (Scraping bis Blob Storage), GitHub Actions, erfolgreiche Ausführung, mehrere erfolgreiche Durchläufe in Log sichtbar</t>
  </si>
  <si>
    <t>Umfang und Nachweis Automatisierung Teil 2 (Build &amp; Deployment), GitHub Actions, erfolgreiche Ausführung, mehrere erfolgreiche Durchläufe in Log sichtbar</t>
  </si>
  <si>
    <t>Setup Consumer Project, Services verfügbar, Test mit Postman</t>
  </si>
  <si>
    <t>PEER 1
Punkte vergeben</t>
  </si>
  <si>
    <t>PEER 1
Bemerkungen</t>
  </si>
  <si>
    <t>ZHAW-Kürzel Peer 1 hier eintragen</t>
  </si>
  <si>
    <t>ZHAW-Kürzel Peer 2 hier eintragen</t>
  </si>
  <si>
    <t>ZHAW-Kürzel Peer 3 hier eintragen</t>
  </si>
  <si>
    <t>ZHAW-Kürzel Peer 4 hier eintragen</t>
  </si>
  <si>
    <t>ZHAW-Kürzel Reviewer hier eintragen</t>
  </si>
  <si>
    <t>Regeln Screencast
- Dauer max. 120 Sekunden pro Projekt
- Sprache Hochdeutsch
- Format *.mp4
Keine Bewertung von Screencasts 
- welche pro Thema länger als die vorgegebene Zeit (2min) dauern
- bei welchen das Gesicht der Sprecherin oder des Sprechers nie sichtbar ist
- bei welchen die Auflösung zu gering ist (unlesbare Texte)
- bei welchen die Eigenleistung nicht nachgewiesen ist (Sichtbarkeit eindeutig identifizierbarer Merkmale, z.B. ZHAW-Konto, GitHub-Benutzername, Datum/Uhrzeit) 
- bei welchen nur statische Bilder oder nur Resultate und keine Lösungswege gezeigt werden
- welche Schnitte oder Zeitraffer an entscheidenden Stellen eines Lösungsweges enthalten</t>
  </si>
  <si>
    <t>Projekt Review 1 (Wichtig: bei Projektrückstand/nicht begonnenen Projekten Feedback zur Idee liefern)</t>
  </si>
  <si>
    <t>Projekt Review 2 (Wichtig: bei Projektrückstand/nicht begonnenen Projekten Feedback zur Idee liefern)</t>
  </si>
  <si>
    <t>Screencast Review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</si>
</sst>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2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horizontal="right"/>
    </xf>
    <xf numFmtId="0" fontId="1" fillId="2" borderId="3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7" xfId="0" applyFont="1" applyFill="1" applyBorder="1"/>
    <xf numFmtId="0" fontId="0" fillId="0" borderId="0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2" fontId="1" fillId="2" borderId="11" xfId="0" applyNumberFormat="1" applyFont="1" applyFill="1" applyBorder="1"/>
    <xf numFmtId="2" fontId="0" fillId="0" borderId="0" xfId="0" applyNumberFormat="1" applyBorder="1" applyAlignment="1">
      <alignment vertical="top" wrapText="1"/>
    </xf>
    <xf numFmtId="2" fontId="0" fillId="0" borderId="12" xfId="0" applyNumberForma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1" fillId="2" borderId="9" xfId="0" applyFont="1" applyFill="1" applyBorder="1" applyAlignment="1">
      <alignment wrapText="1"/>
    </xf>
    <xf numFmtId="0" fontId="1" fillId="3" borderId="3" xfId="0" applyFont="1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4" borderId="4" xfId="0" applyFont="1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3" fillId="4" borderId="0" xfId="0" applyFont="1" applyFill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3" fillId="2" borderId="0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0" fillId="4" borderId="0" xfId="0" applyFill="1" applyAlignment="1">
      <alignment vertical="top" wrapText="1"/>
    </xf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1"/>
  <sheetViews>
    <sheetView tabSelected="1" zoomScaleNormal="100" workbookViewId="0">
      <pane xSplit="10" ySplit="3" topLeftCell="K4" activePane="bottomRight" state="frozen"/>
      <selection pane="topRight" activeCell="E1" sqref="E1"/>
      <selection pane="bottomLeft" activeCell="A3" sqref="A3"/>
      <selection pane="bottomRight" activeCell="B26" sqref="B26"/>
    </sheetView>
  </sheetViews>
  <sheetFormatPr baseColWidth="10" defaultColWidth="9" defaultRowHeight="14.4" x14ac:dyDescent="0.3"/>
  <cols>
    <col min="1" max="1" width="17.5546875" customWidth="1"/>
    <col min="2" max="2" width="28.44140625" customWidth="1"/>
    <col min="3" max="3" width="46.6640625" customWidth="1"/>
    <col min="4" max="9" width="14.5546875" hidden="1" customWidth="1"/>
    <col min="10" max="10" width="10.88671875" customWidth="1"/>
    <col min="11" max="11" width="10.5546875" style="12" customWidth="1"/>
    <col min="12" max="12" width="25.77734375" style="27" customWidth="1"/>
    <col min="13" max="13" width="10.5546875" customWidth="1"/>
    <col min="14" max="14" width="25.77734375" customWidth="1"/>
    <col min="15" max="15" width="10.5546875" customWidth="1"/>
    <col min="16" max="16" width="25.77734375" customWidth="1"/>
    <col min="17" max="17" width="10.5546875" customWidth="1"/>
    <col min="18" max="18" width="25.77734375" customWidth="1"/>
  </cols>
  <sheetData>
    <row r="1" spans="1:18" s="36" customFormat="1" ht="15.75" customHeight="1" x14ac:dyDescent="0.3">
      <c r="A1" s="33" t="s">
        <v>3</v>
      </c>
      <c r="B1" s="54" t="s">
        <v>80</v>
      </c>
      <c r="C1" s="54"/>
      <c r="D1" s="34"/>
      <c r="E1" s="34"/>
      <c r="F1" s="34"/>
      <c r="G1" s="34"/>
      <c r="H1" s="34"/>
      <c r="I1" s="34"/>
      <c r="J1" s="35"/>
      <c r="K1" s="50" t="s">
        <v>74</v>
      </c>
      <c r="L1" s="48" t="s">
        <v>75</v>
      </c>
      <c r="M1" s="50" t="s">
        <v>74</v>
      </c>
      <c r="N1" s="48" t="s">
        <v>75</v>
      </c>
      <c r="O1" s="50" t="s">
        <v>74</v>
      </c>
      <c r="P1" s="48" t="s">
        <v>75</v>
      </c>
      <c r="Q1" s="50" t="s">
        <v>74</v>
      </c>
      <c r="R1" s="48" t="s">
        <v>75</v>
      </c>
    </row>
    <row r="2" spans="1:18" s="36" customFormat="1" ht="15" customHeight="1" x14ac:dyDescent="0.3">
      <c r="A2" s="37"/>
      <c r="B2" s="54"/>
      <c r="C2" s="54"/>
      <c r="D2" s="38"/>
      <c r="E2" s="38"/>
      <c r="F2" s="38"/>
      <c r="G2" s="38"/>
      <c r="H2" s="38"/>
      <c r="I2" s="38"/>
      <c r="J2" s="39"/>
      <c r="K2" s="51"/>
      <c r="L2" s="48"/>
      <c r="M2" s="51"/>
      <c r="N2" s="48"/>
      <c r="O2" s="51"/>
      <c r="P2" s="48"/>
      <c r="Q2" s="51"/>
      <c r="R2" s="48"/>
    </row>
    <row r="3" spans="1:18" ht="16.2" customHeight="1" x14ac:dyDescent="0.3">
      <c r="A3" s="15"/>
      <c r="B3" s="55"/>
      <c r="C3" s="55"/>
      <c r="D3" s="16"/>
      <c r="E3" s="16"/>
      <c r="F3" s="16"/>
      <c r="G3" s="16"/>
      <c r="H3" s="16"/>
      <c r="I3" s="16"/>
      <c r="J3" s="17" t="s">
        <v>0</v>
      </c>
      <c r="K3" s="52"/>
      <c r="L3" s="49"/>
      <c r="M3" s="52"/>
      <c r="N3" s="49"/>
      <c r="O3" s="52"/>
      <c r="P3" s="49"/>
      <c r="Q3" s="52"/>
      <c r="R3" s="49"/>
    </row>
    <row r="4" spans="1:18" s="36" customFormat="1" ht="193.2" customHeight="1" x14ac:dyDescent="0.3">
      <c r="A4" s="41" t="s">
        <v>37</v>
      </c>
      <c r="B4" s="53" t="s">
        <v>81</v>
      </c>
      <c r="C4" s="53"/>
      <c r="D4" s="42" t="s">
        <v>38</v>
      </c>
      <c r="E4" s="43"/>
      <c r="F4" s="43"/>
      <c r="G4" s="43"/>
      <c r="H4" s="43"/>
      <c r="I4" s="43"/>
      <c r="J4" s="24"/>
      <c r="K4" s="47" t="s">
        <v>76</v>
      </c>
      <c r="L4" s="47"/>
      <c r="M4" s="47" t="s">
        <v>77</v>
      </c>
      <c r="N4" s="47"/>
      <c r="O4" s="47" t="s">
        <v>78</v>
      </c>
      <c r="P4" s="47"/>
      <c r="Q4" s="47" t="s">
        <v>79</v>
      </c>
      <c r="R4" s="47"/>
    </row>
    <row r="5" spans="1:18" ht="25.5" customHeight="1" x14ac:dyDescent="0.3">
      <c r="A5" s="22" t="s">
        <v>35</v>
      </c>
      <c r="B5" s="23" t="s">
        <v>39</v>
      </c>
      <c r="C5" s="23" t="s">
        <v>40</v>
      </c>
      <c r="D5" s="23" t="s">
        <v>20</v>
      </c>
      <c r="E5" s="23" t="s">
        <v>21</v>
      </c>
      <c r="F5" s="23" t="s">
        <v>24</v>
      </c>
      <c r="G5" s="23" t="s">
        <v>18</v>
      </c>
      <c r="H5" s="23" t="s">
        <v>22</v>
      </c>
      <c r="I5" s="23" t="s">
        <v>19</v>
      </c>
      <c r="J5" s="25">
        <v>4</v>
      </c>
    </row>
    <row r="6" spans="1:18" ht="29.25" customHeight="1" x14ac:dyDescent="0.3">
      <c r="A6" s="18"/>
      <c r="B6" s="12" t="s">
        <v>41</v>
      </c>
      <c r="C6" s="13" t="s">
        <v>51</v>
      </c>
      <c r="D6" s="12"/>
      <c r="E6" s="12"/>
      <c r="F6" s="12"/>
      <c r="G6" s="12"/>
      <c r="H6" s="12"/>
      <c r="I6" s="12"/>
      <c r="J6" s="24">
        <v>4</v>
      </c>
    </row>
    <row r="7" spans="1:18" ht="47.25" customHeight="1" x14ac:dyDescent="0.3">
      <c r="A7" s="18"/>
      <c r="B7" s="12" t="s">
        <v>42</v>
      </c>
      <c r="C7" s="13" t="s">
        <v>52</v>
      </c>
      <c r="D7" s="12"/>
      <c r="E7" s="12"/>
      <c r="F7" s="12"/>
      <c r="G7" s="12"/>
      <c r="H7" s="12"/>
      <c r="I7" s="12"/>
      <c r="J7" s="24">
        <v>4</v>
      </c>
    </row>
    <row r="8" spans="1:18" ht="46.5" customHeight="1" x14ac:dyDescent="0.3">
      <c r="A8" s="19"/>
      <c r="B8" s="12" t="s">
        <v>43</v>
      </c>
      <c r="C8" s="12" t="s">
        <v>53</v>
      </c>
      <c r="D8" s="12" t="s">
        <v>20</v>
      </c>
      <c r="E8" s="12"/>
      <c r="F8" s="12"/>
      <c r="G8" s="12" t="s">
        <v>26</v>
      </c>
      <c r="H8" s="12" t="s">
        <v>28</v>
      </c>
      <c r="I8" s="12" t="s">
        <v>27</v>
      </c>
      <c r="J8" s="24">
        <v>4</v>
      </c>
    </row>
    <row r="9" spans="1:18" ht="46.5" customHeight="1" x14ac:dyDescent="0.3">
      <c r="A9" s="19"/>
      <c r="B9" s="12" t="s">
        <v>57</v>
      </c>
      <c r="C9" s="12" t="s">
        <v>71</v>
      </c>
      <c r="D9" s="12"/>
      <c r="E9" s="12"/>
      <c r="F9" s="12"/>
      <c r="G9" s="12"/>
      <c r="H9" s="12"/>
      <c r="I9" s="12"/>
      <c r="J9" s="24">
        <v>4</v>
      </c>
    </row>
    <row r="10" spans="1:18" ht="34.200000000000003" customHeight="1" x14ac:dyDescent="0.3">
      <c r="A10" s="19"/>
      <c r="B10" s="12" t="s">
        <v>44</v>
      </c>
      <c r="C10" s="12" t="s">
        <v>55</v>
      </c>
      <c r="D10" s="12" t="s">
        <v>20</v>
      </c>
      <c r="E10" s="12"/>
      <c r="F10" s="12"/>
      <c r="G10" s="12" t="s">
        <v>11</v>
      </c>
      <c r="H10" s="12"/>
      <c r="I10" s="12"/>
      <c r="J10" s="24">
        <v>4</v>
      </c>
    </row>
    <row r="11" spans="1:18" ht="61.2" customHeight="1" x14ac:dyDescent="0.3">
      <c r="A11" s="19"/>
      <c r="B11" s="12" t="s">
        <v>45</v>
      </c>
      <c r="C11" s="12" t="s">
        <v>56</v>
      </c>
      <c r="D11" s="12" t="s">
        <v>20</v>
      </c>
      <c r="E11" s="12"/>
      <c r="F11" s="12"/>
      <c r="G11" s="12"/>
      <c r="H11" s="12"/>
      <c r="I11" s="12" t="s">
        <v>23</v>
      </c>
      <c r="J11" s="24">
        <v>4</v>
      </c>
    </row>
    <row r="12" spans="1:18" ht="61.2" customHeight="1" x14ac:dyDescent="0.3">
      <c r="A12" s="19"/>
      <c r="B12" s="12" t="s">
        <v>58</v>
      </c>
      <c r="C12" s="12" t="s">
        <v>72</v>
      </c>
      <c r="D12" s="12"/>
      <c r="E12" s="12"/>
      <c r="F12" s="12"/>
      <c r="G12" s="12"/>
      <c r="H12" s="12"/>
      <c r="I12" s="12"/>
      <c r="J12" s="24">
        <v>4</v>
      </c>
    </row>
    <row r="13" spans="1:18" ht="63.45" customHeight="1" x14ac:dyDescent="0.3">
      <c r="A13" s="44" t="s">
        <v>67</v>
      </c>
      <c r="B13" s="56" t="s">
        <v>82</v>
      </c>
      <c r="C13" s="45" t="s">
        <v>66</v>
      </c>
      <c r="D13" s="12"/>
      <c r="E13" s="12"/>
      <c r="F13" s="12"/>
      <c r="G13" s="12"/>
      <c r="H13" s="12"/>
      <c r="I13" s="12"/>
      <c r="J13" s="24">
        <v>4</v>
      </c>
    </row>
    <row r="14" spans="1:18" ht="34.5" customHeight="1" x14ac:dyDescent="0.3">
      <c r="A14" s="46"/>
      <c r="B14" s="45" t="s">
        <v>8</v>
      </c>
      <c r="C14" s="45" t="s">
        <v>9</v>
      </c>
      <c r="D14" s="12" t="s">
        <v>20</v>
      </c>
      <c r="E14" s="12"/>
      <c r="F14" s="12"/>
      <c r="G14" s="12" t="s">
        <v>25</v>
      </c>
      <c r="H14" s="12"/>
      <c r="I14" s="12" t="s">
        <v>10</v>
      </c>
      <c r="J14" s="24">
        <v>4</v>
      </c>
    </row>
    <row r="15" spans="1:18" ht="34.200000000000003" customHeight="1" x14ac:dyDescent="0.3">
      <c r="A15" s="44" t="s">
        <v>68</v>
      </c>
      <c r="B15" s="45" t="s">
        <v>47</v>
      </c>
      <c r="C15" s="45" t="s">
        <v>48</v>
      </c>
      <c r="D15" s="12"/>
      <c r="E15" s="12"/>
      <c r="F15" s="12"/>
      <c r="G15" s="12"/>
      <c r="H15" s="12"/>
      <c r="I15" s="12"/>
      <c r="J15" s="24">
        <v>10</v>
      </c>
    </row>
    <row r="16" spans="1:18" x14ac:dyDescent="0.3">
      <c r="A16" s="20" t="s">
        <v>4</v>
      </c>
      <c r="B16" s="21"/>
      <c r="C16" s="21"/>
      <c r="D16" s="40" t="s">
        <v>17</v>
      </c>
      <c r="E16" s="40" t="s">
        <v>12</v>
      </c>
      <c r="F16" s="40" t="s">
        <v>16</v>
      </c>
      <c r="G16" s="40" t="s">
        <v>14</v>
      </c>
      <c r="H16" s="40" t="s">
        <v>13</v>
      </c>
      <c r="I16" s="40" t="s">
        <v>15</v>
      </c>
      <c r="J16" s="14">
        <f>SUM(J5:J15)</f>
        <v>50</v>
      </c>
      <c r="K16" s="26">
        <f>SUM(K5:K14)</f>
        <v>0</v>
      </c>
    </row>
    <row r="17" spans="1:12" ht="45.75" customHeight="1" x14ac:dyDescent="0.3">
      <c r="A17" s="22" t="s">
        <v>36</v>
      </c>
      <c r="B17" s="23" t="s">
        <v>65</v>
      </c>
      <c r="C17" s="23" t="s">
        <v>49</v>
      </c>
      <c r="D17" s="23"/>
      <c r="E17" s="23"/>
      <c r="F17" s="23" t="s">
        <v>30</v>
      </c>
      <c r="G17" s="23" t="s">
        <v>34</v>
      </c>
      <c r="H17" s="23" t="s">
        <v>31</v>
      </c>
      <c r="I17" s="23"/>
      <c r="J17" s="25">
        <v>4</v>
      </c>
    </row>
    <row r="18" spans="1:12" ht="49.95" customHeight="1" x14ac:dyDescent="0.3">
      <c r="A18" s="18"/>
      <c r="B18" s="12" t="s">
        <v>59</v>
      </c>
      <c r="C18" s="12" t="s">
        <v>53</v>
      </c>
      <c r="D18" s="12"/>
      <c r="E18" s="12"/>
      <c r="F18" s="12"/>
      <c r="G18" s="12"/>
      <c r="H18" s="12"/>
      <c r="I18" s="12"/>
      <c r="J18" s="24">
        <v>4</v>
      </c>
    </row>
    <row r="19" spans="1:12" ht="34.5" customHeight="1" x14ac:dyDescent="0.3">
      <c r="A19" s="19"/>
      <c r="B19" s="12" t="s">
        <v>61</v>
      </c>
      <c r="C19" s="12" t="s">
        <v>55</v>
      </c>
      <c r="D19" s="12"/>
      <c r="E19" s="12"/>
      <c r="F19" s="12"/>
      <c r="G19" s="12" t="s">
        <v>30</v>
      </c>
      <c r="H19" s="12" t="s">
        <v>32</v>
      </c>
      <c r="I19" s="12"/>
      <c r="J19" s="24">
        <v>4</v>
      </c>
    </row>
    <row r="20" spans="1:12" ht="49.95" customHeight="1" x14ac:dyDescent="0.3">
      <c r="A20" s="19"/>
      <c r="B20" s="12" t="s">
        <v>62</v>
      </c>
      <c r="C20" s="12" t="s">
        <v>46</v>
      </c>
      <c r="D20" s="12"/>
      <c r="E20" s="12"/>
      <c r="F20" s="12"/>
      <c r="G20" s="12"/>
      <c r="H20" s="12"/>
      <c r="I20" s="12"/>
      <c r="J20" s="24">
        <v>4</v>
      </c>
    </row>
    <row r="21" spans="1:12" ht="49.95" customHeight="1" x14ac:dyDescent="0.3">
      <c r="A21" s="19"/>
      <c r="B21" s="12" t="s">
        <v>63</v>
      </c>
      <c r="C21" s="12" t="s">
        <v>54</v>
      </c>
      <c r="D21" s="12"/>
      <c r="E21" s="12"/>
      <c r="F21" s="12"/>
      <c r="G21" s="12"/>
      <c r="H21" s="12"/>
      <c r="I21" s="12"/>
      <c r="J21" s="24">
        <v>4</v>
      </c>
    </row>
    <row r="22" spans="1:12" ht="31.2" customHeight="1" x14ac:dyDescent="0.3">
      <c r="A22" s="19"/>
      <c r="B22" s="12" t="s">
        <v>60</v>
      </c>
      <c r="C22" s="12" t="s">
        <v>73</v>
      </c>
      <c r="D22" s="12"/>
      <c r="E22" s="12"/>
      <c r="F22" s="12"/>
      <c r="G22" s="12"/>
      <c r="H22" s="12"/>
      <c r="I22" s="12"/>
      <c r="J22" s="24">
        <v>4</v>
      </c>
    </row>
    <row r="23" spans="1:12" ht="33.450000000000003" customHeight="1" x14ac:dyDescent="0.3">
      <c r="A23" s="19"/>
      <c r="B23" s="12" t="s">
        <v>60</v>
      </c>
      <c r="C23" s="12" t="s">
        <v>50</v>
      </c>
      <c r="D23" s="12"/>
      <c r="E23" s="12"/>
      <c r="F23" s="12"/>
      <c r="G23" s="12"/>
      <c r="H23" s="12" t="s">
        <v>33</v>
      </c>
      <c r="I23" s="12" t="s">
        <v>29</v>
      </c>
      <c r="J23" s="24">
        <v>4</v>
      </c>
    </row>
    <row r="24" spans="1:12" ht="33.450000000000003" customHeight="1" x14ac:dyDescent="0.3">
      <c r="A24" s="19"/>
      <c r="B24" s="12" t="s">
        <v>64</v>
      </c>
      <c r="C24" s="12" t="s">
        <v>54</v>
      </c>
      <c r="D24" s="12"/>
      <c r="E24" s="12"/>
      <c r="F24" s="12"/>
      <c r="G24" s="12"/>
      <c r="H24" s="12"/>
      <c r="I24" s="12"/>
      <c r="J24" s="24">
        <v>4</v>
      </c>
    </row>
    <row r="25" spans="1:12" ht="61.2" customHeight="1" x14ac:dyDescent="0.3">
      <c r="A25" s="44" t="s">
        <v>70</v>
      </c>
      <c r="B25" s="56" t="s">
        <v>83</v>
      </c>
      <c r="C25" s="45" t="s">
        <v>66</v>
      </c>
      <c r="D25" s="12"/>
      <c r="E25" s="12"/>
      <c r="F25" s="12"/>
      <c r="G25" s="12"/>
      <c r="H25" s="12"/>
      <c r="I25" s="12"/>
      <c r="J25" s="24">
        <v>4</v>
      </c>
    </row>
    <row r="26" spans="1:12" ht="33.450000000000003" customHeight="1" x14ac:dyDescent="0.3">
      <c r="A26" s="44"/>
      <c r="B26" s="45" t="s">
        <v>84</v>
      </c>
      <c r="C26" s="45" t="s">
        <v>9</v>
      </c>
      <c r="D26" s="12"/>
      <c r="E26" s="12"/>
      <c r="F26" s="12"/>
      <c r="G26" s="12"/>
      <c r="H26" s="12"/>
      <c r="I26" s="12"/>
      <c r="J26" s="24">
        <v>4</v>
      </c>
    </row>
    <row r="27" spans="1:12" ht="36.450000000000003" customHeight="1" x14ac:dyDescent="0.3">
      <c r="A27" s="44" t="s">
        <v>69</v>
      </c>
      <c r="B27" s="45" t="s">
        <v>47</v>
      </c>
      <c r="C27" s="45" t="s">
        <v>48</v>
      </c>
      <c r="D27" s="12"/>
      <c r="E27" s="12"/>
      <c r="F27" s="12"/>
      <c r="G27" s="12"/>
      <c r="H27" s="12"/>
      <c r="I27" s="12"/>
      <c r="J27" s="24">
        <v>10</v>
      </c>
    </row>
    <row r="28" spans="1:12" x14ac:dyDescent="0.3">
      <c r="A28" s="1" t="s">
        <v>5</v>
      </c>
      <c r="B28" s="8"/>
      <c r="C28" s="8"/>
      <c r="D28" s="8"/>
      <c r="E28" s="8"/>
      <c r="F28" s="8"/>
      <c r="G28" s="8"/>
      <c r="H28" s="8"/>
      <c r="I28" s="8"/>
      <c r="J28" s="9">
        <f>SUM(J17:J27)</f>
        <v>50</v>
      </c>
      <c r="K28" s="26">
        <f>SUM(K17:K27)</f>
        <v>0</v>
      </c>
    </row>
    <row r="29" spans="1:12" x14ac:dyDescent="0.3">
      <c r="A29" s="2" t="s">
        <v>1</v>
      </c>
      <c r="B29" s="3"/>
      <c r="C29" s="3"/>
      <c r="D29" s="3"/>
      <c r="E29" s="3"/>
      <c r="F29" s="3"/>
      <c r="G29" s="3"/>
      <c r="H29" s="3"/>
      <c r="I29" s="3"/>
      <c r="J29" s="10">
        <f>J28+J16</f>
        <v>100</v>
      </c>
      <c r="K29" s="12">
        <f>K28+K16</f>
        <v>0</v>
      </c>
    </row>
    <row r="30" spans="1:12" x14ac:dyDescent="0.3">
      <c r="A30" s="2"/>
      <c r="B30" s="3"/>
      <c r="C30" s="4" t="s">
        <v>7</v>
      </c>
      <c r="D30" s="4"/>
      <c r="E30" s="4"/>
      <c r="F30" s="4"/>
      <c r="G30" s="4"/>
      <c r="H30" s="4"/>
      <c r="I30" s="4"/>
      <c r="J30" s="29">
        <f>J29/$B$31*5+1</f>
        <v>6</v>
      </c>
      <c r="K30" s="30">
        <f>K29/$B$31*5+1</f>
        <v>1</v>
      </c>
      <c r="L30" s="31"/>
    </row>
    <row r="31" spans="1:12" x14ac:dyDescent="0.3">
      <c r="A31" s="5" t="s">
        <v>6</v>
      </c>
      <c r="B31" s="6">
        <v>100</v>
      </c>
      <c r="C31" s="7" t="s">
        <v>2</v>
      </c>
      <c r="D31" s="7"/>
      <c r="E31" s="7"/>
      <c r="F31" s="7"/>
      <c r="G31" s="7"/>
      <c r="H31" s="7"/>
      <c r="I31" s="7"/>
      <c r="J31" s="11">
        <f>ROUND(J30/5,1)*5</f>
        <v>6</v>
      </c>
      <c r="K31" s="32">
        <f>ROUND(K30/5,1)*5</f>
        <v>1</v>
      </c>
      <c r="L31" s="28"/>
    </row>
  </sheetData>
  <autoFilter ref="A1:L31" xr:uid="{00000000-0001-0000-0000-000000000000}"/>
  <mergeCells count="10">
    <mergeCell ref="P1:P3"/>
    <mergeCell ref="Q1:Q3"/>
    <mergeCell ref="R1:R3"/>
    <mergeCell ref="B4:C4"/>
    <mergeCell ref="K1:K3"/>
    <mergeCell ref="L1:L3"/>
    <mergeCell ref="M1:M3"/>
    <mergeCell ref="B1:C3"/>
    <mergeCell ref="N1:N3"/>
    <mergeCell ref="O1:O3"/>
  </mergeCells>
  <phoneticPr fontId="2" type="noConversion"/>
  <conditionalFormatting sqref="K5:K15 K17:K27">
    <cfRule type="cellIs" dxfId="0" priority="252" operator="notBetween">
      <formula>0</formula>
      <formula>$J5</formula>
    </cfRule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Moser Adrian (mosa)</dc:creator>
  <cp:lastModifiedBy>Moser Adrian (mosa)</cp:lastModifiedBy>
  <cp:lastPrinted>2023-06-07T13:09:33Z</cp:lastPrinted>
  <dcterms:created xsi:type="dcterms:W3CDTF">2015-06-05T18:19:34Z</dcterms:created>
  <dcterms:modified xsi:type="dcterms:W3CDTF">2026-01-07T06:34:18Z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2021-06-24T06:22:49Z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942b6066-b7c1-4a60-9290-b8c65cb6e886</vt:lpwstr>
  </property>
  <property fmtid="{D5CDD505-2E9C-101B-9397-08002B2CF9AE}" pid="8" name="MSIP_Label_10d9bad3-6dac-4e9a-89a3-89f3b8d247b2_ContentBits">
    <vt:lpwstr>0</vt:lpwstr>
  </property>
</Properties>
</file>